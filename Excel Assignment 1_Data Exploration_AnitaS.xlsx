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johnv\Downloads\"/>
    </mc:Choice>
  </mc:AlternateContent>
  <xr:revisionPtr revIDLastSave="0" documentId="13_ncr:1_{28556F11-8390-4EBB-B444-5508AF5EFCC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Instructions" sheetId="1" r:id="rId1"/>
    <sheet name="Dataset" sheetId="2" r:id="rId2"/>
    <sheet name="Answe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K28" i="3" l="1"/>
  <c r="K29" i="3"/>
  <c r="K30" i="3"/>
  <c r="K31" i="3"/>
  <c r="K32" i="3"/>
  <c r="K33" i="3"/>
  <c r="K34" i="3"/>
  <c r="K35" i="3"/>
  <c r="K36" i="3"/>
  <c r="K37" i="3"/>
  <c r="K20" i="3"/>
  <c r="K21" i="3"/>
  <c r="K22" i="3"/>
  <c r="K23" i="3"/>
  <c r="K24" i="3"/>
  <c r="K25" i="3"/>
  <c r="K26" i="3"/>
  <c r="K27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4" i="3"/>
  <c r="I36" i="3"/>
  <c r="I37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20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1" i="3"/>
  <c r="I22" i="3"/>
  <c r="I4" i="3"/>
  <c r="N22" i="3"/>
  <c r="N21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5" i="3"/>
  <c r="H6" i="3"/>
  <c r="H7" i="3"/>
  <c r="H8" i="3"/>
  <c r="H9" i="3"/>
  <c r="H4" i="3"/>
  <c r="N19" i="3"/>
  <c r="N18" i="3"/>
  <c r="N16" i="3"/>
  <c r="N15" i="3"/>
  <c r="N14" i="3"/>
</calcChain>
</file>

<file path=xl/sharedStrings.xml><?xml version="1.0" encoding="utf-8"?>
<sst xmlns="http://schemas.openxmlformats.org/spreadsheetml/2006/main" count="312" uniqueCount="121">
  <si>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</si>
  <si>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</si>
  <si>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</si>
  <si>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</si>
  <si>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</si>
  <si>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</si>
  <si>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</si>
  <si>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</si>
  <si>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</si>
  <si>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</si>
  <si>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</si>
  <si>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</si>
  <si>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</si>
  <si>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</si>
  <si>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</si>
  <si>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</si>
  <si>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</si>
  <si>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</si>
  <si>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</si>
  <si>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</si>
  <si>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</si>
  <si>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</si>
  <si>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</si>
  <si>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</si>
  <si>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</si>
  <si>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</si>
  <si>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</si>
  <si>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</si>
  <si>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</si>
  <si>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</si>
  <si>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</si>
  <si>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</si>
  <si>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</si>
  <si>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</si>
  <si>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</si>
  <si>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</si>
  <si>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</si>
  <si>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</si>
  <si>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</si>
  <si>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</si>
  <si>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</si>
  <si>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</si>
  <si>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</si>
  <si>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</si>
  <si>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</si>
  <si>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</si>
  <si>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</si>
  <si>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</si>
  <si>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</si>
  <si>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</si>
  <si>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</si>
  <si>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</si>
  <si>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</si>
  <si>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</si>
  <si>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</si>
  <si>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</si>
  <si>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</si>
  <si>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</si>
  <si>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</si>
  <si>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</si>
  <si>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</si>
  <si>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</si>
  <si>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</si>
  <si>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</si>
  <si>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</si>
  <si>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</si>
  <si>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</si>
  <si>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</si>
  <si>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</si>
  <si>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</si>
  <si>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</si>
  <si>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</si>
  <si>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</si>
  <si>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</si>
  <si>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</si>
  <si>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</si>
  <si>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</si>
  <si>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</si>
  <si>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</si>
  <si>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</si>
  <si>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</si>
  <si>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</si>
  <si>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</si>
  <si>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</si>
  <si>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</si>
  <si>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</si>
  <si>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</si>
  <si>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</si>
  <si>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</si>
  <si>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</si>
  <si>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</si>
  <si>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</si>
  <si>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</si>
  <si>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</si>
  <si>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</si>
  <si>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</si>
  <si>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</si>
  <si>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</si>
  <si>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</si>
  <si>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</si>
  <si>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</si>
  <si>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</si>
  <si>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</si>
  <si>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</si>
  <si>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</si>
  <si>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</si>
  <si>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</si>
  <si>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</si>
  <si>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</si>
  <si>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</si>
  <si>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Total</t>
  </si>
  <si>
    <t>Number of Products</t>
  </si>
  <si>
    <t xml:space="preserve">Average Price </t>
  </si>
  <si>
    <t>Minimum Price among all products</t>
  </si>
  <si>
    <t>Maximum Price among all products</t>
  </si>
  <si>
    <t>Price Range</t>
  </si>
  <si>
    <t>Total price in electronics category</t>
  </si>
  <si>
    <t>Count of products with price less than $100</t>
  </si>
  <si>
    <t>Day</t>
  </si>
  <si>
    <t>Country Code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</si>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</sst>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E0F7FA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3" borderId="0" xfId="0" applyFont="1" applyFill="1"/>
    <xf numFmtId="0" fontId="6" fillId="4" borderId="0" xfId="0" applyFont="1" applyFill="1"/>
    <xf numFmtId="0" fontId="6" fillId="5" borderId="1" xfId="0" applyFont="1" applyFill="1" applyBorder="1"/>
    <xf numFmtId="0" fontId="0" fillId="5" borderId="2" xfId="0" applyFill="1" applyBorder="1"/>
    <xf numFmtId="0" fontId="6" fillId="6" borderId="3" xfId="0" applyFont="1" applyFill="1" applyBorder="1"/>
    <xf numFmtId="0" fontId="0" fillId="5" borderId="4" xfId="0" applyFill="1" applyBorder="1"/>
    <xf numFmtId="0" fontId="0" fillId="5" borderId="3" xfId="0" applyFill="1" applyBorder="1"/>
    <xf numFmtId="164" fontId="0" fillId="5" borderId="4" xfId="0" applyNumberFormat="1" applyFill="1" applyBorder="1"/>
    <xf numFmtId="0" fontId="0" fillId="0" borderId="3" xfId="0" applyFill="1" applyBorder="1"/>
    <xf numFmtId="0" fontId="0" fillId="0" borderId="4" xfId="0" applyFill="1" applyBorder="1"/>
    <xf numFmtId="0" fontId="0" fillId="5" borderId="5" xfId="0" applyFill="1" applyBorder="1"/>
    <xf numFmtId="0" fontId="0" fillId="5" borderId="6" xfId="0" applyFill="1" applyBorder="1"/>
    <xf numFmtId="0" fontId="5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workbookViewId="0">
      <selection activeCell="C17" sqref="C17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3" ht="15.75" customHeight="1" x14ac:dyDescent="0.25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">
      <c r="B4" s="2"/>
      <c r="C4" s="3" t="s">
        <v>2</v>
      </c>
    </row>
    <row r="5" spans="1:3" ht="15.75" customHeight="1" x14ac:dyDescent="0.3">
      <c r="B5" s="2"/>
      <c r="C5" s="3" t="s">
        <v>3</v>
      </c>
    </row>
    <row r="6" spans="1:3" ht="15.75" customHeight="1" x14ac:dyDescent="0.3">
      <c r="B6" s="2"/>
      <c r="C6" s="3" t="s">
        <v>4</v>
      </c>
    </row>
    <row r="7" spans="1:3" ht="15.75" customHeight="1" x14ac:dyDescent="0.3">
      <c r="B7" s="4"/>
    </row>
    <row r="8" spans="1:3" ht="15.75" customHeight="1" x14ac:dyDescent="0.3">
      <c r="B8" s="2" t="s">
        <v>5</v>
      </c>
    </row>
    <row r="9" spans="1:3" ht="15.75" customHeight="1" x14ac:dyDescent="0.3">
      <c r="C9" s="3" t="s">
        <v>6</v>
      </c>
    </row>
    <row r="10" spans="1:3" ht="15.75" customHeight="1" x14ac:dyDescent="0.3">
      <c r="C10" s="3" t="s">
        <v>7</v>
      </c>
    </row>
    <row r="11" spans="1:3" ht="15.75" customHeight="1" x14ac:dyDescent="0.3">
      <c r="B11" s="4"/>
    </row>
    <row r="12" spans="1:3" ht="15.75" customHeight="1" x14ac:dyDescent="0.3">
      <c r="B12" s="2" t="s">
        <v>8</v>
      </c>
    </row>
    <row r="13" spans="1:3" ht="15.75" customHeight="1" x14ac:dyDescent="0.3">
      <c r="C13" s="3" t="s">
        <v>9</v>
      </c>
    </row>
    <row r="14" spans="1:3" ht="15.75" customHeight="1" x14ac:dyDescent="0.3">
      <c r="B14" s="4"/>
    </row>
    <row r="15" spans="1:3" ht="15.75" customHeight="1" x14ac:dyDescent="0.3">
      <c r="B15" s="2" t="s">
        <v>10</v>
      </c>
    </row>
    <row r="16" spans="1:3" ht="15.75" customHeight="1" x14ac:dyDescent="0.3">
      <c r="C16" s="3" t="s">
        <v>11</v>
      </c>
    </row>
    <row r="17" spans="2:3" ht="15.75" customHeight="1" x14ac:dyDescent="0.3">
      <c r="C17" s="3" t="s">
        <v>12</v>
      </c>
    </row>
    <row r="18" spans="2:3" ht="15.75" customHeight="1" x14ac:dyDescent="0.3">
      <c r="B18" s="4"/>
    </row>
    <row r="19" spans="2:3" ht="15.75" customHeight="1" x14ac:dyDescent="0.3">
      <c r="B19" s="2" t="s">
        <v>13</v>
      </c>
    </row>
    <row r="20" spans="2:3" ht="15.75" customHeight="1" x14ac:dyDescent="0.3">
      <c r="C20" s="3" t="s">
        <v>14</v>
      </c>
    </row>
    <row r="21" spans="2:3" ht="15.75" customHeight="1" x14ac:dyDescent="0.3">
      <c r="C21" s="3" t="s">
        <v>15</v>
      </c>
    </row>
    <row r="22" spans="2:3" ht="15.75" customHeight="1" x14ac:dyDescent="0.3">
      <c r="C22" s="3" t="s">
        <v>16</v>
      </c>
    </row>
    <row r="23" spans="2:3" ht="15.75" customHeight="1" x14ac:dyDescent="0.3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000"/>
  <sheetViews>
    <sheetView topLeftCell="A16" workbookViewId="0">
      <selection sqref="A1:F35"/>
    </sheetView>
  </sheetViews>
  <sheetFormatPr defaultColWidth="12.6640625" defaultRowHeight="15" customHeight="1" x14ac:dyDescent="0.25"/>
  <cols>
    <col min="1" max="1" width="12.6640625" customWidth="1"/>
    <col min="2" max="2" width="14.109375" customWidth="1"/>
    <col min="3" max="6" width="12.6640625" customWidth="1"/>
  </cols>
  <sheetData>
    <row r="1" spans="1:7" ht="15.75" customHeight="1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6"/>
    </row>
    <row r="2" spans="1:7" ht="15.75" customHeight="1" x14ac:dyDescent="0.25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s="7"/>
    </row>
    <row r="3" spans="1:7" ht="15.75" customHeight="1" x14ac:dyDescent="0.25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s="7"/>
    </row>
    <row r="4" spans="1:7" ht="15.75" customHeight="1" x14ac:dyDescent="0.25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s="7"/>
    </row>
    <row r="5" spans="1:7" ht="15.75" customHeight="1" x14ac:dyDescent="0.25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s="7"/>
    </row>
    <row r="6" spans="1:7" ht="15.75" customHeight="1" x14ac:dyDescent="0.25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s="7"/>
    </row>
    <row r="7" spans="1:7" ht="15.75" customHeight="1" x14ac:dyDescent="0.25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s="7"/>
    </row>
    <row r="8" spans="1:7" ht="15.75" customHeight="1" x14ac:dyDescent="0.25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s="7"/>
    </row>
    <row r="9" spans="1:7" ht="15.75" customHeight="1" x14ac:dyDescent="0.25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s="7"/>
    </row>
    <row r="10" spans="1:7" ht="15.75" customHeight="1" x14ac:dyDescent="0.25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s="7"/>
    </row>
    <row r="11" spans="1:7" ht="15.75" customHeight="1" x14ac:dyDescent="0.25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s="7"/>
    </row>
    <row r="12" spans="1:7" ht="15.75" customHeight="1" x14ac:dyDescent="0.25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s="7"/>
    </row>
    <row r="13" spans="1:7" ht="15.75" customHeight="1" x14ac:dyDescent="0.25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s="7"/>
    </row>
    <row r="14" spans="1:7" ht="15.75" customHeight="1" x14ac:dyDescent="0.25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s="7"/>
    </row>
    <row r="15" spans="1:7" ht="15.75" customHeight="1" x14ac:dyDescent="0.25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s="7"/>
    </row>
    <row r="16" spans="1:7" ht="15.75" customHeight="1" x14ac:dyDescent="0.25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s="7"/>
    </row>
    <row r="17" spans="1:7" ht="15.75" customHeight="1" x14ac:dyDescent="0.25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s="7"/>
    </row>
    <row r="18" spans="1:7" ht="15.75" customHeight="1" x14ac:dyDescent="0.25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s="7"/>
    </row>
    <row r="19" spans="1:7" ht="15.75" customHeight="1" x14ac:dyDescent="0.25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s="7"/>
    </row>
    <row r="20" spans="1:7" ht="15.75" customHeight="1" x14ac:dyDescent="0.25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s="7"/>
    </row>
    <row r="21" spans="1:7" ht="15.75" customHeight="1" x14ac:dyDescent="0.25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s="7"/>
    </row>
    <row r="22" spans="1:7" ht="15.75" customHeight="1" x14ac:dyDescent="0.25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s="7"/>
    </row>
    <row r="23" spans="1:7" ht="15.75" customHeight="1" x14ac:dyDescent="0.25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s="7"/>
    </row>
    <row r="24" spans="1:7" ht="15.75" customHeight="1" x14ac:dyDescent="0.25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s="7"/>
    </row>
    <row r="25" spans="1:7" ht="15.75" customHeight="1" x14ac:dyDescent="0.25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s="9"/>
    </row>
    <row r="26" spans="1:7" ht="15.75" customHeight="1" x14ac:dyDescent="0.25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s="7"/>
    </row>
    <row r="27" spans="1:7" ht="15.75" customHeight="1" x14ac:dyDescent="0.25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s="7"/>
    </row>
    <row r="28" spans="1:7" ht="15.75" customHeight="1" x14ac:dyDescent="0.25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s="7"/>
    </row>
    <row r="29" spans="1:7" ht="15.75" customHeight="1" x14ac:dyDescent="0.25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s="9"/>
    </row>
    <row r="30" spans="1:7" ht="15.75" customHeight="1" x14ac:dyDescent="0.25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s="7"/>
    </row>
    <row r="31" spans="1:7" ht="15.75" customHeight="1" x14ac:dyDescent="0.25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s="7"/>
    </row>
    <row r="32" spans="1:7" ht="15.75" customHeight="1" x14ac:dyDescent="0.25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s="7"/>
    </row>
    <row r="33" spans="1:7" ht="15.75" customHeight="1" x14ac:dyDescent="0.25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G33" s="7"/>
    </row>
    <row r="34" spans="1:7" ht="15.75" customHeight="1" x14ac:dyDescent="0.25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s="7"/>
    </row>
    <row r="35" spans="1:7" ht="15.75" customHeight="1" x14ac:dyDescent="0.25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  <c r="G35" s="7"/>
    </row>
    <row r="36" spans="1:7" ht="15.75" customHeight="1" x14ac:dyDescent="0.25"/>
    <row r="37" spans="1:7" ht="15.75" customHeight="1" x14ac:dyDescent="0.25"/>
    <row r="38" spans="1:7" ht="15.75" customHeight="1" x14ac:dyDescent="0.25"/>
    <row r="39" spans="1:7" ht="15.75" customHeight="1" x14ac:dyDescent="0.25"/>
    <row r="40" spans="1:7" ht="15.75" customHeight="1" x14ac:dyDescent="0.25"/>
    <row r="41" spans="1:7" ht="15.75" customHeight="1" x14ac:dyDescent="0.25"/>
    <row r="42" spans="1:7" ht="15.75" customHeight="1" x14ac:dyDescent="0.25"/>
    <row r="43" spans="1:7" ht="15.75" customHeight="1" x14ac:dyDescent="0.25"/>
    <row r="44" spans="1:7" ht="15.75" customHeight="1" x14ac:dyDescent="0.25"/>
    <row r="45" spans="1:7" ht="15.75" customHeight="1" x14ac:dyDescent="0.25"/>
    <row r="46" spans="1:7" ht="15.75" customHeight="1" x14ac:dyDescent="0.25"/>
    <row r="47" spans="1:7" ht="15.75" customHeight="1" x14ac:dyDescent="0.25"/>
    <row r="48" spans="1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8270C-BC1A-42BF-B920-CFB17E02CE3A}">
  <dimension ref="B3:N37"/>
  <sheetViews>
    <sheetView tabSelected="1" topLeftCell="A11" workbookViewId="0">
      <selection activeCell="K12" sqref="K12"/>
    </sheetView>
  </sheetViews>
  <sheetFormatPr defaultRowHeight="13.2" x14ac:dyDescent="0.25"/>
  <cols>
    <col min="2" max="2" width="13.109375" customWidth="1"/>
    <col min="3" max="3" width="15.109375" customWidth="1"/>
    <col min="4" max="4" width="13.44140625" customWidth="1"/>
    <col min="5" max="5" width="11" customWidth="1"/>
    <col min="6" max="6" width="11.88671875" customWidth="1"/>
    <col min="7" max="7" width="13.5546875" customWidth="1"/>
    <col min="8" max="8" width="13.33203125" bestFit="1" customWidth="1"/>
    <col min="10" max="10" width="13.33203125" bestFit="1" customWidth="1"/>
    <col min="11" max="12" width="12" customWidth="1"/>
    <col min="13" max="13" width="36.6640625" bestFit="1" customWidth="1"/>
  </cols>
  <sheetData>
    <row r="3" spans="2:14" x14ac:dyDescent="0.25">
      <c r="B3" s="5" t="s">
        <v>17</v>
      </c>
      <c r="C3" s="5" t="s">
        <v>18</v>
      </c>
      <c r="D3" s="5" t="s">
        <v>19</v>
      </c>
      <c r="E3" s="5" t="s">
        <v>20</v>
      </c>
      <c r="F3" s="5" t="s">
        <v>21</v>
      </c>
      <c r="G3" s="5" t="s">
        <v>22</v>
      </c>
      <c r="H3" s="5" t="s">
        <v>115</v>
      </c>
      <c r="I3" s="5" t="s">
        <v>118</v>
      </c>
      <c r="J3" s="5" t="s">
        <v>119</v>
      </c>
      <c r="K3" s="5" t="s">
        <v>120</v>
      </c>
      <c r="L3" s="20"/>
    </row>
    <row r="4" spans="2:14" x14ac:dyDescent="0.25">
      <c r="B4" s="7" t="s">
        <v>23</v>
      </c>
      <c r="C4" s="7" t="s">
        <v>24</v>
      </c>
      <c r="D4" s="7" t="s">
        <v>25</v>
      </c>
      <c r="E4" s="7">
        <v>1000</v>
      </c>
      <c r="F4" s="7">
        <v>30</v>
      </c>
      <c r="G4" s="7" t="s">
        <v>26</v>
      </c>
      <c r="H4" t="str">
        <f>IF(Answers!E4&gt;=500, "High Price", "Standard Price")</f>
        <v>High Price</v>
      </c>
      <c r="I4" t="str">
        <f>LEFT(B4,2)</f>
        <v>28</v>
      </c>
      <c r="J4" t="str">
        <f>RIGHT(B4, 2)</f>
        <v>US</v>
      </c>
      <c r="K4" t="str">
        <f>MID(B4,4,3)</f>
        <v>JAN</v>
      </c>
    </row>
    <row r="5" spans="2:14" x14ac:dyDescent="0.25">
      <c r="B5" s="8" t="s">
        <v>27</v>
      </c>
      <c r="C5" s="8" t="s">
        <v>28</v>
      </c>
      <c r="D5" s="8" t="s">
        <v>29</v>
      </c>
      <c r="E5" s="8">
        <v>80</v>
      </c>
      <c r="F5" s="8">
        <v>15</v>
      </c>
      <c r="G5" s="8" t="s">
        <v>30</v>
      </c>
      <c r="H5" t="str">
        <f>IF(Answers!E5&gt;=500, "High Price", "Standard Price")</f>
        <v>Standard Price</v>
      </c>
      <c r="I5" t="str">
        <f t="shared" ref="I5:I37" si="0">LEFT(B5,2)</f>
        <v>15</v>
      </c>
      <c r="J5" t="str">
        <f t="shared" ref="J5:J37" si="1">RIGHT(B5, 2)</f>
        <v>US</v>
      </c>
      <c r="K5" t="str">
        <f t="shared" ref="K5:K37" si="2">MID(B5,4,3)</f>
        <v>FEB</v>
      </c>
    </row>
    <row r="6" spans="2:14" x14ac:dyDescent="0.25">
      <c r="B6" s="7" t="s">
        <v>31</v>
      </c>
      <c r="C6" s="7" t="s">
        <v>32</v>
      </c>
      <c r="D6" s="7" t="s">
        <v>33</v>
      </c>
      <c r="E6" s="7">
        <v>130</v>
      </c>
      <c r="F6" s="7">
        <v>40</v>
      </c>
      <c r="G6" s="7" t="s">
        <v>34</v>
      </c>
      <c r="H6" t="str">
        <f>IF(Answers!E6&gt;=500, "High Price", "Standard Price")</f>
        <v>Standard Price</v>
      </c>
      <c r="I6" t="str">
        <f t="shared" si="0"/>
        <v>03</v>
      </c>
      <c r="J6" t="str">
        <f t="shared" si="1"/>
        <v>US</v>
      </c>
      <c r="K6" t="str">
        <f t="shared" si="2"/>
        <v>MAR</v>
      </c>
    </row>
    <row r="7" spans="2:14" x14ac:dyDescent="0.25">
      <c r="B7" s="8" t="s">
        <v>35</v>
      </c>
      <c r="C7" s="8" t="s">
        <v>36</v>
      </c>
      <c r="D7" s="8" t="s">
        <v>37</v>
      </c>
      <c r="E7" s="8">
        <v>900</v>
      </c>
      <c r="F7" s="8">
        <v>25</v>
      </c>
      <c r="G7" s="8" t="s">
        <v>26</v>
      </c>
      <c r="H7" t="str">
        <f>IF(Answers!E7&gt;=500, "High Price", "Standard Price")</f>
        <v>High Price</v>
      </c>
      <c r="I7" t="str">
        <f t="shared" si="0"/>
        <v>11</v>
      </c>
      <c r="J7" t="str">
        <f t="shared" si="1"/>
        <v>US</v>
      </c>
      <c r="K7" t="str">
        <f t="shared" si="2"/>
        <v>APR</v>
      </c>
    </row>
    <row r="8" spans="2:14" x14ac:dyDescent="0.25">
      <c r="B8" s="7" t="s">
        <v>38</v>
      </c>
      <c r="C8" s="7" t="s">
        <v>39</v>
      </c>
      <c r="D8" s="7" t="s">
        <v>40</v>
      </c>
      <c r="E8" s="7">
        <v>70</v>
      </c>
      <c r="F8" s="7">
        <v>20</v>
      </c>
      <c r="G8" s="7" t="s">
        <v>41</v>
      </c>
      <c r="H8" t="str">
        <f>IF(Answers!E8&gt;=500, "High Price", "Standard Price")</f>
        <v>Standard Price</v>
      </c>
      <c r="I8" t="str">
        <f t="shared" si="0"/>
        <v>22</v>
      </c>
      <c r="J8" t="str">
        <f t="shared" si="1"/>
        <v>US</v>
      </c>
      <c r="K8" t="str">
        <f t="shared" si="2"/>
        <v>MAY</v>
      </c>
    </row>
    <row r="9" spans="2:14" x14ac:dyDescent="0.25">
      <c r="B9" s="8" t="s">
        <v>42</v>
      </c>
      <c r="C9" s="8" t="s">
        <v>43</v>
      </c>
      <c r="D9" s="8" t="s">
        <v>44</v>
      </c>
      <c r="E9" s="8">
        <v>200</v>
      </c>
      <c r="F9" s="8">
        <v>45</v>
      </c>
      <c r="G9" s="8" t="s">
        <v>26</v>
      </c>
      <c r="H9" t="str">
        <f>IF(Answers!E9&gt;=500, "High Price", "Standard Price")</f>
        <v>Standard Price</v>
      </c>
      <c r="I9" t="str">
        <f t="shared" si="0"/>
        <v>07</v>
      </c>
      <c r="J9" t="str">
        <f t="shared" si="1"/>
        <v>UK</v>
      </c>
      <c r="K9" t="str">
        <f t="shared" si="2"/>
        <v>JUN</v>
      </c>
    </row>
    <row r="10" spans="2:14" x14ac:dyDescent="0.25">
      <c r="B10" s="7" t="s">
        <v>45</v>
      </c>
      <c r="C10" s="7" t="s">
        <v>46</v>
      </c>
      <c r="D10" s="7" t="s">
        <v>47</v>
      </c>
      <c r="E10" s="7">
        <v>30</v>
      </c>
      <c r="F10" s="7">
        <v>5</v>
      </c>
      <c r="G10" s="7" t="s">
        <v>30</v>
      </c>
      <c r="H10" t="str">
        <f>IF(Answers!E10&gt;=500, "High Price", "Standard Price")</f>
        <v>Standard Price</v>
      </c>
      <c r="I10" t="str">
        <f t="shared" si="0"/>
        <v>19</v>
      </c>
      <c r="J10" t="str">
        <f t="shared" si="1"/>
        <v>UK</v>
      </c>
      <c r="K10" t="str">
        <f t="shared" si="2"/>
        <v>JUL</v>
      </c>
    </row>
    <row r="11" spans="2:14" x14ac:dyDescent="0.25">
      <c r="B11" s="8" t="s">
        <v>48</v>
      </c>
      <c r="C11" s="8" t="s">
        <v>49</v>
      </c>
      <c r="D11" s="8" t="s">
        <v>50</v>
      </c>
      <c r="E11" s="8">
        <v>90</v>
      </c>
      <c r="F11" s="8">
        <v>35</v>
      </c>
      <c r="G11" s="8" t="s">
        <v>34</v>
      </c>
      <c r="H11" t="str">
        <f>IF(Answers!E11&gt;=500, "High Price", "Standard Price")</f>
        <v>Standard Price</v>
      </c>
      <c r="I11" t="str">
        <f t="shared" si="0"/>
        <v>23</v>
      </c>
      <c r="J11" t="str">
        <f t="shared" si="1"/>
        <v>UK</v>
      </c>
      <c r="K11" t="str">
        <f t="shared" si="2"/>
        <v>AUG</v>
      </c>
    </row>
    <row r="12" spans="2:14" x14ac:dyDescent="0.25">
      <c r="B12" s="7" t="s">
        <v>51</v>
      </c>
      <c r="C12" s="7" t="s">
        <v>52</v>
      </c>
      <c r="D12" s="7" t="s">
        <v>53</v>
      </c>
      <c r="E12" s="7">
        <v>500</v>
      </c>
      <c r="F12" s="7">
        <v>50</v>
      </c>
      <c r="G12" s="7" t="s">
        <v>26</v>
      </c>
      <c r="H12" t="str">
        <f>IF(Answers!E12&gt;=500, "High Price", "Standard Price")</f>
        <v>High Price</v>
      </c>
      <c r="I12" t="str">
        <f t="shared" si="0"/>
        <v>05</v>
      </c>
      <c r="J12" t="str">
        <f t="shared" si="1"/>
        <v>UK</v>
      </c>
      <c r="K12" t="str">
        <f t="shared" si="2"/>
        <v>SEP</v>
      </c>
    </row>
    <row r="13" spans="2:14" ht="13.8" thickBot="1" x14ac:dyDescent="0.3">
      <c r="B13" s="8" t="s">
        <v>54</v>
      </c>
      <c r="C13" s="8" t="s">
        <v>55</v>
      </c>
      <c r="D13" s="8" t="s">
        <v>56</v>
      </c>
      <c r="E13" s="8">
        <v>130</v>
      </c>
      <c r="F13" s="8">
        <v>10</v>
      </c>
      <c r="G13" s="8" t="s">
        <v>41</v>
      </c>
      <c r="H13" t="str">
        <f>IF(Answers!E13&gt;=500, "High Price", "Standard Price")</f>
        <v>Standard Price</v>
      </c>
      <c r="I13" t="str">
        <f t="shared" si="0"/>
        <v>14</v>
      </c>
      <c r="J13" t="str">
        <f t="shared" si="1"/>
        <v>UK</v>
      </c>
      <c r="K13" t="str">
        <f t="shared" si="2"/>
        <v>OCT</v>
      </c>
    </row>
    <row r="14" spans="2:14" x14ac:dyDescent="0.25">
      <c r="B14" s="7" t="s">
        <v>57</v>
      </c>
      <c r="C14" s="7" t="s">
        <v>24</v>
      </c>
      <c r="D14" s="7" t="s">
        <v>58</v>
      </c>
      <c r="E14" s="7">
        <v>950</v>
      </c>
      <c r="F14" s="7">
        <v>25</v>
      </c>
      <c r="G14" s="7" t="s">
        <v>26</v>
      </c>
      <c r="H14" t="str">
        <f>IF(Answers!E14&gt;=500, "High Price", "Standard Price")</f>
        <v>High Price</v>
      </c>
      <c r="I14" t="str">
        <f t="shared" si="0"/>
        <v>17</v>
      </c>
      <c r="J14" t="str">
        <f t="shared" si="1"/>
        <v>IN</v>
      </c>
      <c r="K14" t="str">
        <f t="shared" si="2"/>
        <v>JUN</v>
      </c>
      <c r="M14" s="10" t="s">
        <v>110</v>
      </c>
      <c r="N14" s="11">
        <f>SUM(E4:E37)</f>
        <v>10100</v>
      </c>
    </row>
    <row r="15" spans="2:14" x14ac:dyDescent="0.25">
      <c r="B15" s="8" t="s">
        <v>59</v>
      </c>
      <c r="C15" s="8" t="s">
        <v>28</v>
      </c>
      <c r="D15" s="8" t="s">
        <v>47</v>
      </c>
      <c r="E15" s="8">
        <v>90</v>
      </c>
      <c r="F15" s="8">
        <v>40</v>
      </c>
      <c r="G15" s="8" t="s">
        <v>30</v>
      </c>
      <c r="H15" t="str">
        <f>IF(Answers!E15&gt;=500, "High Price", "Standard Price")</f>
        <v>Standard Price</v>
      </c>
      <c r="I15" t="str">
        <f t="shared" si="0"/>
        <v>25</v>
      </c>
      <c r="J15" t="str">
        <f t="shared" si="1"/>
        <v>AU</v>
      </c>
      <c r="K15" t="str">
        <f>MID(B15,4,3)</f>
        <v>NOV</v>
      </c>
      <c r="M15" s="12" t="s">
        <v>111</v>
      </c>
      <c r="N15" s="13">
        <f>COUNTA(C4:C37)</f>
        <v>34</v>
      </c>
    </row>
    <row r="16" spans="2:14" x14ac:dyDescent="0.25">
      <c r="B16" s="7" t="s">
        <v>60</v>
      </c>
      <c r="C16" s="7" t="s">
        <v>32</v>
      </c>
      <c r="D16" s="7" t="s">
        <v>61</v>
      </c>
      <c r="E16" s="7">
        <v>120</v>
      </c>
      <c r="F16" s="7">
        <v>35</v>
      </c>
      <c r="G16" s="7" t="s">
        <v>34</v>
      </c>
      <c r="H16" t="str">
        <f>IF(Answers!E16&gt;=500, "High Price", "Standard Price")</f>
        <v>Standard Price</v>
      </c>
      <c r="I16" t="str">
        <f t="shared" si="0"/>
        <v>08</v>
      </c>
      <c r="J16" t="str">
        <f t="shared" si="1"/>
        <v>DE</v>
      </c>
      <c r="K16" t="str">
        <f t="shared" si="2"/>
        <v>DEC</v>
      </c>
      <c r="M16" s="14" t="s">
        <v>112</v>
      </c>
      <c r="N16" s="15">
        <f>AVERAGE(E4:E37)</f>
        <v>297.05882352941177</v>
      </c>
    </row>
    <row r="17" spans="2:14" x14ac:dyDescent="0.25">
      <c r="B17" s="8" t="s">
        <v>62</v>
      </c>
      <c r="C17" s="8" t="s">
        <v>63</v>
      </c>
      <c r="D17" s="8" t="s">
        <v>64</v>
      </c>
      <c r="E17" s="8">
        <v>150</v>
      </c>
      <c r="F17" s="8">
        <v>15</v>
      </c>
      <c r="G17" s="8" t="s">
        <v>26</v>
      </c>
      <c r="H17" t="str">
        <f>IF(Answers!E17&gt;=500, "High Price", "Standard Price")</f>
        <v>Standard Price</v>
      </c>
      <c r="I17" t="str">
        <f t="shared" si="0"/>
        <v>18</v>
      </c>
      <c r="J17" t="str">
        <f t="shared" si="1"/>
        <v>CA</v>
      </c>
      <c r="K17" t="str">
        <f t="shared" si="2"/>
        <v>FEB</v>
      </c>
      <c r="M17" s="16"/>
      <c r="N17" s="17"/>
    </row>
    <row r="18" spans="2:14" x14ac:dyDescent="0.25">
      <c r="B18" s="7" t="s">
        <v>65</v>
      </c>
      <c r="C18" s="7" t="s">
        <v>43</v>
      </c>
      <c r="D18" s="7" t="s">
        <v>66</v>
      </c>
      <c r="E18" s="7">
        <v>250</v>
      </c>
      <c r="F18" s="7">
        <v>20</v>
      </c>
      <c r="G18" s="7" t="s">
        <v>26</v>
      </c>
      <c r="H18" t="str">
        <f>IF(Answers!E18&gt;=500, "High Price", "Standard Price")</f>
        <v>Standard Price</v>
      </c>
      <c r="I18" t="str">
        <f t="shared" si="0"/>
        <v>16</v>
      </c>
      <c r="J18" t="str">
        <f t="shared" si="1"/>
        <v>ES</v>
      </c>
      <c r="K18" t="str">
        <f t="shared" si="2"/>
        <v>APR</v>
      </c>
      <c r="M18" s="14" t="s">
        <v>113</v>
      </c>
      <c r="N18" s="13">
        <f>MIN(E4:E37)</f>
        <v>30</v>
      </c>
    </row>
    <row r="19" spans="2:14" x14ac:dyDescent="0.25">
      <c r="B19" s="8" t="s">
        <v>67</v>
      </c>
      <c r="C19" s="8" t="s">
        <v>68</v>
      </c>
      <c r="D19" s="8" t="s">
        <v>69</v>
      </c>
      <c r="E19" s="8">
        <v>50</v>
      </c>
      <c r="F19" s="8">
        <v>35</v>
      </c>
      <c r="G19" s="8" t="s">
        <v>70</v>
      </c>
      <c r="H19" t="str">
        <f>IF(Answers!E19&gt;=500, "High Price", "Standard Price")</f>
        <v>Standard Price</v>
      </c>
      <c r="I19" t="str">
        <f t="shared" si="0"/>
        <v>21</v>
      </c>
      <c r="J19" t="str">
        <f t="shared" si="1"/>
        <v>CA</v>
      </c>
      <c r="K19" t="str">
        <f t="shared" si="2"/>
        <v>AUG</v>
      </c>
      <c r="M19" s="14" t="s">
        <v>114</v>
      </c>
      <c r="N19" s="13">
        <f>MAX(E4:E37)</f>
        <v>1000</v>
      </c>
    </row>
    <row r="20" spans="2:14" x14ac:dyDescent="0.25">
      <c r="B20" s="7" t="s">
        <v>71</v>
      </c>
      <c r="C20" s="7" t="s">
        <v>63</v>
      </c>
      <c r="D20" s="7" t="s">
        <v>72</v>
      </c>
      <c r="E20" s="7">
        <v>160</v>
      </c>
      <c r="F20" s="7">
        <v>15</v>
      </c>
      <c r="G20" s="7" t="s">
        <v>26</v>
      </c>
      <c r="H20" t="str">
        <f>IF(Answers!E20&gt;=500, "High Price", "Standard Price")</f>
        <v>Standard Price</v>
      </c>
      <c r="I20" t="str">
        <f>LEFT(B20,2)</f>
        <v>20</v>
      </c>
      <c r="J20" t="str">
        <f t="shared" si="1"/>
        <v>CN</v>
      </c>
      <c r="K20" t="str">
        <f t="shared" si="2"/>
        <v>AUG</v>
      </c>
      <c r="M20" s="16"/>
      <c r="N20" s="17"/>
    </row>
    <row r="21" spans="2:14" x14ac:dyDescent="0.25">
      <c r="B21" s="8" t="s">
        <v>73</v>
      </c>
      <c r="C21" s="8" t="s">
        <v>24</v>
      </c>
      <c r="D21" s="8" t="s">
        <v>74</v>
      </c>
      <c r="E21" s="8">
        <v>980</v>
      </c>
      <c r="F21" s="8">
        <v>10</v>
      </c>
      <c r="G21" s="8" t="s">
        <v>26</v>
      </c>
      <c r="H21" t="str">
        <f>IF(Answers!E21&gt;=500, "High Price", "Standard Price")</f>
        <v>High Price</v>
      </c>
      <c r="I21" t="str">
        <f t="shared" si="0"/>
        <v>27</v>
      </c>
      <c r="J21" t="str">
        <f t="shared" si="1"/>
        <v>IT</v>
      </c>
      <c r="K21" t="str">
        <f t="shared" si="2"/>
        <v>JAN</v>
      </c>
      <c r="M21" s="14" t="s">
        <v>116</v>
      </c>
      <c r="N21" s="13">
        <f>SUMIF(G4:G37, "Electronics", E4:E37)</f>
        <v>8050</v>
      </c>
    </row>
    <row r="22" spans="2:14" ht="13.8" thickBot="1" x14ac:dyDescent="0.3">
      <c r="B22" s="7" t="s">
        <v>75</v>
      </c>
      <c r="C22" s="7" t="s">
        <v>76</v>
      </c>
      <c r="D22" s="7" t="s">
        <v>77</v>
      </c>
      <c r="E22" s="7">
        <v>150</v>
      </c>
      <c r="F22" s="7">
        <v>15</v>
      </c>
      <c r="G22" s="7" t="s">
        <v>30</v>
      </c>
      <c r="H22" t="str">
        <f>IF(Answers!E22&gt;=500, "High Price", "Standard Price")</f>
        <v>Standard Price</v>
      </c>
      <c r="I22" t="str">
        <f t="shared" si="0"/>
        <v>01</v>
      </c>
      <c r="J22" t="str">
        <f t="shared" si="1"/>
        <v>UK</v>
      </c>
      <c r="K22" t="str">
        <f t="shared" si="2"/>
        <v>MAR</v>
      </c>
      <c r="M22" s="18" t="s">
        <v>117</v>
      </c>
      <c r="N22" s="19">
        <f>COUNTIF(E4:E37, "&lt;100")</f>
        <v>11</v>
      </c>
    </row>
    <row r="23" spans="2:14" x14ac:dyDescent="0.25">
      <c r="B23" s="8" t="s">
        <v>78</v>
      </c>
      <c r="C23" s="8" t="s">
        <v>79</v>
      </c>
      <c r="D23" s="8" t="s">
        <v>80</v>
      </c>
      <c r="E23" s="8">
        <v>200</v>
      </c>
      <c r="F23" s="8">
        <v>10</v>
      </c>
      <c r="G23" s="8" t="s">
        <v>41</v>
      </c>
      <c r="H23" t="str">
        <f>IF(Answers!E23&gt;=500, "High Price", "Standard Price")</f>
        <v>Standard Price</v>
      </c>
      <c r="I23" t="str">
        <f t="shared" si="0"/>
        <v>14</v>
      </c>
      <c r="J23" t="str">
        <f t="shared" si="1"/>
        <v>US</v>
      </c>
      <c r="K23" t="str">
        <f t="shared" si="2"/>
        <v>AUG</v>
      </c>
    </row>
    <row r="24" spans="2:14" x14ac:dyDescent="0.25">
      <c r="B24" s="7" t="s">
        <v>81</v>
      </c>
      <c r="C24" s="7" t="s">
        <v>82</v>
      </c>
      <c r="D24" s="7" t="s">
        <v>83</v>
      </c>
      <c r="E24" s="7">
        <v>700</v>
      </c>
      <c r="F24" s="7">
        <v>50</v>
      </c>
      <c r="G24" s="7" t="s">
        <v>26</v>
      </c>
      <c r="H24" t="str">
        <f>IF(Answers!E24&gt;=500, "High Price", "Standard Price")</f>
        <v>High Price</v>
      </c>
      <c r="I24" t="str">
        <f t="shared" si="0"/>
        <v>14</v>
      </c>
      <c r="J24" t="str">
        <f t="shared" si="1"/>
        <v>RU</v>
      </c>
      <c r="K24" t="str">
        <f t="shared" si="2"/>
        <v>MAY</v>
      </c>
    </row>
    <row r="25" spans="2:14" x14ac:dyDescent="0.25">
      <c r="B25" s="8" t="s">
        <v>84</v>
      </c>
      <c r="C25" s="8" t="s">
        <v>85</v>
      </c>
      <c r="D25" s="8" t="s">
        <v>86</v>
      </c>
      <c r="E25" s="8">
        <v>80</v>
      </c>
      <c r="F25" s="8">
        <v>20</v>
      </c>
      <c r="G25" s="8" t="s">
        <v>34</v>
      </c>
      <c r="H25" t="str">
        <f>IF(Answers!E25&gt;=500, "High Price", "Standard Price")</f>
        <v>Standard Price</v>
      </c>
      <c r="I25" t="str">
        <f t="shared" si="0"/>
        <v>09</v>
      </c>
      <c r="J25" t="str">
        <f t="shared" si="1"/>
        <v>CA</v>
      </c>
      <c r="K25" t="str">
        <f t="shared" si="2"/>
        <v>JAN</v>
      </c>
    </row>
    <row r="26" spans="2:14" x14ac:dyDescent="0.25">
      <c r="B26" s="7" t="s">
        <v>87</v>
      </c>
      <c r="C26" s="7" t="s">
        <v>88</v>
      </c>
      <c r="D26" s="7" t="s">
        <v>89</v>
      </c>
      <c r="E26" s="7">
        <v>150</v>
      </c>
      <c r="F26" s="7">
        <v>30</v>
      </c>
      <c r="G26" s="7" t="s">
        <v>26</v>
      </c>
      <c r="H26" t="str">
        <f>IF(Answers!E26&gt;=500, "High Price", "Standard Price")</f>
        <v>Standard Price</v>
      </c>
      <c r="I26" t="str">
        <f t="shared" si="0"/>
        <v>19</v>
      </c>
      <c r="J26" t="str">
        <f t="shared" si="1"/>
        <v>BR</v>
      </c>
      <c r="K26" t="str">
        <f t="shared" si="2"/>
        <v>JUL</v>
      </c>
    </row>
    <row r="27" spans="2:14" x14ac:dyDescent="0.25">
      <c r="B27" s="8" t="s">
        <v>67</v>
      </c>
      <c r="C27" s="8" t="s">
        <v>68</v>
      </c>
      <c r="D27" s="8" t="s">
        <v>69</v>
      </c>
      <c r="E27" s="8">
        <v>50</v>
      </c>
      <c r="F27" s="8">
        <v>35</v>
      </c>
      <c r="G27" s="8" t="s">
        <v>70</v>
      </c>
      <c r="H27" t="str">
        <f>IF(Answers!E27&gt;=500, "High Price", "Standard Price")</f>
        <v>Standard Price</v>
      </c>
      <c r="I27" t="str">
        <f t="shared" si="0"/>
        <v>21</v>
      </c>
      <c r="J27" t="str">
        <f t="shared" si="1"/>
        <v>CA</v>
      </c>
      <c r="K27" t="str">
        <f t="shared" si="2"/>
        <v>AUG</v>
      </c>
    </row>
    <row r="28" spans="2:14" x14ac:dyDescent="0.25">
      <c r="B28" s="7" t="s">
        <v>90</v>
      </c>
      <c r="C28" s="7" t="s">
        <v>36</v>
      </c>
      <c r="D28" s="7" t="s">
        <v>91</v>
      </c>
      <c r="E28" s="7">
        <v>800</v>
      </c>
      <c r="F28" s="7">
        <v>45</v>
      </c>
      <c r="G28" s="7" t="s">
        <v>26</v>
      </c>
      <c r="H28" t="str">
        <f>IF(Answers!E28&gt;=500, "High Price", "Standard Price")</f>
        <v>High Price</v>
      </c>
      <c r="I28" t="str">
        <f t="shared" si="0"/>
        <v>29</v>
      </c>
      <c r="J28" t="str">
        <f t="shared" si="1"/>
        <v>CA</v>
      </c>
      <c r="K28" t="str">
        <f t="shared" si="2"/>
        <v>SEP</v>
      </c>
    </row>
    <row r="29" spans="2:14" x14ac:dyDescent="0.25">
      <c r="B29" s="8" t="s">
        <v>92</v>
      </c>
      <c r="C29" s="8" t="s">
        <v>76</v>
      </c>
      <c r="D29" s="8" t="s">
        <v>93</v>
      </c>
      <c r="E29" s="8">
        <v>130</v>
      </c>
      <c r="F29" s="8">
        <v>25</v>
      </c>
      <c r="G29" s="8" t="s">
        <v>30</v>
      </c>
      <c r="H29" t="str">
        <f>IF(Answers!E29&gt;=500, "High Price", "Standard Price")</f>
        <v>Standard Price</v>
      </c>
      <c r="I29" t="str">
        <f t="shared" si="0"/>
        <v>03</v>
      </c>
      <c r="J29" t="str">
        <f t="shared" si="1"/>
        <v>CA</v>
      </c>
      <c r="K29" t="str">
        <f t="shared" si="2"/>
        <v>JUN</v>
      </c>
    </row>
    <row r="30" spans="2:14" x14ac:dyDescent="0.25">
      <c r="B30" s="7" t="s">
        <v>94</v>
      </c>
      <c r="C30" s="7" t="s">
        <v>49</v>
      </c>
      <c r="D30" s="7" t="s">
        <v>95</v>
      </c>
      <c r="E30" s="7">
        <v>400</v>
      </c>
      <c r="F30" s="7">
        <v>40</v>
      </c>
      <c r="G30" s="7" t="s">
        <v>34</v>
      </c>
      <c r="H30" t="str">
        <f>IF(Answers!E30&gt;=500, "High Price", "Standard Price")</f>
        <v>Standard Price</v>
      </c>
      <c r="I30" t="str">
        <f t="shared" si="0"/>
        <v>11</v>
      </c>
      <c r="J30" t="str">
        <f t="shared" si="1"/>
        <v>CA</v>
      </c>
      <c r="K30" t="str">
        <f t="shared" si="2"/>
        <v>JUL</v>
      </c>
    </row>
    <row r="31" spans="2:14" x14ac:dyDescent="0.25">
      <c r="B31" s="8" t="s">
        <v>65</v>
      </c>
      <c r="C31" s="8" t="s">
        <v>43</v>
      </c>
      <c r="D31" s="8" t="s">
        <v>66</v>
      </c>
      <c r="E31" s="8">
        <v>230</v>
      </c>
      <c r="F31" s="8">
        <v>20</v>
      </c>
      <c r="G31" s="8" t="s">
        <v>26</v>
      </c>
      <c r="H31" t="str">
        <f>IF(Answers!E31&gt;=500, "High Price", "Standard Price")</f>
        <v>Standard Price</v>
      </c>
      <c r="I31" t="str">
        <f t="shared" si="0"/>
        <v>16</v>
      </c>
      <c r="J31" t="str">
        <f t="shared" si="1"/>
        <v>ES</v>
      </c>
      <c r="K31" t="str">
        <f t="shared" si="2"/>
        <v>APR</v>
      </c>
    </row>
    <row r="32" spans="2:14" x14ac:dyDescent="0.25">
      <c r="B32" s="7" t="s">
        <v>96</v>
      </c>
      <c r="C32" s="7" t="s">
        <v>97</v>
      </c>
      <c r="D32" s="7" t="s">
        <v>98</v>
      </c>
      <c r="E32" s="7">
        <v>60</v>
      </c>
      <c r="F32" s="7">
        <v>30</v>
      </c>
      <c r="G32" s="7" t="s">
        <v>30</v>
      </c>
      <c r="H32" t="str">
        <f>IF(Answers!E32&gt;=500, "High Price", "Standard Price")</f>
        <v>Standard Price</v>
      </c>
      <c r="I32" t="str">
        <f t="shared" si="0"/>
        <v>07</v>
      </c>
      <c r="J32" t="str">
        <f t="shared" si="1"/>
        <v>CA</v>
      </c>
      <c r="K32" t="str">
        <f t="shared" si="2"/>
        <v>MAR</v>
      </c>
    </row>
    <row r="33" spans="2:11" x14ac:dyDescent="0.25">
      <c r="B33" s="8" t="s">
        <v>99</v>
      </c>
      <c r="C33" s="8" t="s">
        <v>100</v>
      </c>
      <c r="D33" s="8" t="s">
        <v>101</v>
      </c>
      <c r="E33" s="8">
        <v>40</v>
      </c>
      <c r="F33" s="8">
        <v>10</v>
      </c>
      <c r="G33" s="8" t="s">
        <v>34</v>
      </c>
      <c r="H33" t="str">
        <f>IF(Answers!E33&gt;=500, "High Price", "Standard Price")</f>
        <v>Standard Price</v>
      </c>
      <c r="I33" t="str">
        <f t="shared" si="0"/>
        <v>13</v>
      </c>
      <c r="J33" t="str">
        <f t="shared" si="1"/>
        <v>CA</v>
      </c>
      <c r="K33" t="str">
        <f t="shared" si="2"/>
        <v>APR</v>
      </c>
    </row>
    <row r="34" spans="2:11" x14ac:dyDescent="0.25">
      <c r="B34" s="7" t="s">
        <v>102</v>
      </c>
      <c r="C34" s="7" t="s">
        <v>88</v>
      </c>
      <c r="D34" s="7" t="s">
        <v>103</v>
      </c>
      <c r="E34" s="7">
        <v>130</v>
      </c>
      <c r="F34" s="7">
        <v>5</v>
      </c>
      <c r="G34" s="7" t="s">
        <v>26</v>
      </c>
      <c r="H34" t="str">
        <f>IF(Answers!E34&gt;=500, "High Price", "Standard Price")</f>
        <v>Standard Price</v>
      </c>
      <c r="I34" t="str">
        <f t="shared" si="0"/>
        <v>24</v>
      </c>
      <c r="J34" t="str">
        <f t="shared" si="1"/>
        <v>CA</v>
      </c>
      <c r="K34" t="str">
        <f t="shared" si="2"/>
        <v>MAY</v>
      </c>
    </row>
    <row r="35" spans="2:11" x14ac:dyDescent="0.25">
      <c r="B35" s="8" t="s">
        <v>104</v>
      </c>
      <c r="C35" s="8" t="s">
        <v>105</v>
      </c>
      <c r="D35" s="8" t="s">
        <v>106</v>
      </c>
      <c r="E35" s="8">
        <v>50</v>
      </c>
      <c r="F35" s="8">
        <v>50</v>
      </c>
      <c r="G35" s="8" t="s">
        <v>30</v>
      </c>
      <c r="H35" t="str">
        <f>IF(Answers!E35&gt;=500, "High Price", "Standard Price")</f>
        <v>Standard Price</v>
      </c>
      <c r="I35" t="str">
        <f t="shared" si="0"/>
        <v>02</v>
      </c>
      <c r="J35" t="str">
        <f t="shared" si="1"/>
        <v>CA</v>
      </c>
      <c r="K35" t="str">
        <f t="shared" si="2"/>
        <v>DEC</v>
      </c>
    </row>
    <row r="36" spans="2:11" x14ac:dyDescent="0.25">
      <c r="B36" s="7" t="s">
        <v>57</v>
      </c>
      <c r="C36" s="7" t="s">
        <v>24</v>
      </c>
      <c r="D36" s="7" t="s">
        <v>58</v>
      </c>
      <c r="E36" s="7">
        <v>950</v>
      </c>
      <c r="F36" s="7">
        <v>25</v>
      </c>
      <c r="G36" s="7" t="s">
        <v>26</v>
      </c>
      <c r="H36" t="str">
        <f>IF(Answers!E36&gt;=500, "High Price", "Standard Price")</f>
        <v>High Price</v>
      </c>
      <c r="I36" t="str">
        <f t="shared" si="0"/>
        <v>17</v>
      </c>
      <c r="J36" t="str">
        <f t="shared" si="1"/>
        <v>IN</v>
      </c>
      <c r="K36" t="str">
        <f t="shared" si="2"/>
        <v>JUN</v>
      </c>
    </row>
    <row r="37" spans="2:11" x14ac:dyDescent="0.25">
      <c r="B37" s="8" t="s">
        <v>107</v>
      </c>
      <c r="C37" s="8" t="s">
        <v>108</v>
      </c>
      <c r="D37" s="8" t="s">
        <v>109</v>
      </c>
      <c r="E37" s="8">
        <v>100</v>
      </c>
      <c r="F37" s="8">
        <v>20</v>
      </c>
      <c r="G37" s="8" t="s">
        <v>70</v>
      </c>
      <c r="H37" t="str">
        <f>IF(Answers!E37&gt;=500, "High Price", "Standard Price")</f>
        <v>Standard Price</v>
      </c>
      <c r="I37" t="str">
        <f t="shared" si="0"/>
        <v>09</v>
      </c>
      <c r="J37" t="str">
        <f t="shared" si="1"/>
        <v>FR</v>
      </c>
      <c r="K37" t="str">
        <f t="shared" si="2"/>
        <v>JUL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Answers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Varghese</cp:lastModifiedBy>
  <dcterms:modified xsi:type="dcterms:W3CDTF">2026-10-02T09:28:34Z</dcterms:modified>
</cp:coreProperties>
</file>