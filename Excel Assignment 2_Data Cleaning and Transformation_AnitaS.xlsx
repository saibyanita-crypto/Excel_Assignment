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224aa88d2f08e36/Desktop/DAF75/Assignmrents/"/>
    </mc:Choice>
  </mc:AlternateContent>
  <xr:revisionPtr revIDLastSave="104" documentId="11_3C784BE47D5BC9D6C729A121CD02E8CB7FE6236B" xr6:coauthVersionLast="47" xr6:coauthVersionMax="47" xr10:uidLastSave="{DD72F49F-8F9A-4F03-8E70-6A2E21880ED4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  <c r="N3" i="3"/>
</calcChain>
</file>

<file path=xl/sharedStrings.xml><?xml version="1.0" encoding="utf-8"?>
<sst xmlns="http://schemas.openxmlformats.org/spreadsheetml/2006/main" count="330" uniqueCount="150">
  <si>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</si>
  <si>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</si>
  <si>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</si>
  <si>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</si>
  <si>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</si>
  <si>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</si>
  <si>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</si>
  <si>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</si>
  <si>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</si>
  <si>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</si>
  <si>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</si>
  <si>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</si>
  <si>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</si>
  <si>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</si>
  <si>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</si>
  <si>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</si>
  <si>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</si>
  <si>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</si>
  <si>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</si>
  <si>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</si>
  <si>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</si>
  <si>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</si>
  <si>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</si>
  <si>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</si>
  <si>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</si>
  <si>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</si>
  <si>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</si>
  <si>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</si>
  <si>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</si>
  <si>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</si>
  <si>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</si>
  <si>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</si>
  <si>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</si>
  <si>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</si>
  <si>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</si>
  <si>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</si>
  <si>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</si>
  <si>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</si>
  <si>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</si>
  <si>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</si>
  <si>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</si>
  <si>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</si>
  <si>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</si>
  <si>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</si>
  <si>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</si>
  <si>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</si>
  <si>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</si>
  <si>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</si>
  <si>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</si>
  <si>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</si>
  <si>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</si>
  <si>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</si>
  <si>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</si>
  <si>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</si>
  <si>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</si>
  <si>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</si>
  <si>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</si>
  <si>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</si>
  <si>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</si>
  <si>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</si>
  <si>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</si>
  <si>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</si>
  <si>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</si>
  <si>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</si>
  <si>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</si>
  <si>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</si>
  <si>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</si>
  <si>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</si>
  <si>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</si>
  <si>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</si>
  <si>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</si>
  <si>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</si>
  <si>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</si>
  <si>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</si>
  <si>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</si>
  <si>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</si>
  <si>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</si>
  <si>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</si>
  <si>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</si>
  <si>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</si>
  <si>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</si>
  <si>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</si>
  <si>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</si>
  <si>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</si>
  <si>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</si>
  <si>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</si>
  <si>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</si>
  <si>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</si>
  <si>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</si>
  <si>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</si>
  <si>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</si>
  <si>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</si>
  <si>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</si>
  <si>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</si>
  <si>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</si>
  <si>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</si>
  <si>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</si>
  <si>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</si>
  <si>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</si>
  <si>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</si>
  <si>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</si>
  <si>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</si>
  <si>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</si>
  <si>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</si>
  <si>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</si>
  <si>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</si>
  <si>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</si>
  <si>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</si>
  <si>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</si>
  <si>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</si>
  <si>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</si>
  <si>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</si>
  <si>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</si>
  <si>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</si>
  <si>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</si>
  <si>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</si>
  <si>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Handling Missing Values</t>
  </si>
  <si>
    <t>Missing values in price column</t>
  </si>
  <si>
    <t>Not Available</t>
  </si>
  <si>
    <t>If there are products with missing categories, we can use the median price of similar products or mark as "Not Available".</t>
  </si>
  <si>
    <t>• Inconsistent text formats in the "Product Name" column.</t>
  </si>
  <si>
    <t>Manufacturing Date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</si>
  <si>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</si>
  <si>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</si>
  <si>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</si>
  <si>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</si>
  <si>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</si>
  <si>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</si>
  <si>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</si>
  <si>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</si>
  <si>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</si>
  <si>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</si>
  <si>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</si>
  <si>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</si>
  <si>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</si>
  <si>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</si>
  <si>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</si>
  <si>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</si>
  <si>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</si>
  <si>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</si>
  <si>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</si>
  <si>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</si>
  <si>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</si>
  <si>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</si>
  <si>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</si>
  <si>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</si>
  <si>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</si>
  <si>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Month</t>
  </si>
  <si>
    <t>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</si>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</sst>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$-1009]#,##0.00"/>
    <numFmt numFmtId="168" formatCode="[$-14009]dd/mm/yyyy;@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8" tint="0.39997558519241921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/>
    <xf numFmtId="0" fontId="8" fillId="0" borderId="0" xfId="0" applyFont="1"/>
    <xf numFmtId="0" fontId="2" fillId="0" borderId="0" xfId="0" applyFont="1"/>
    <xf numFmtId="0" fontId="10" fillId="0" borderId="0" xfId="0" applyFont="1"/>
    <xf numFmtId="166" fontId="5" fillId="0" borderId="0" xfId="0" applyNumberFormat="1" applyFont="1"/>
    <xf numFmtId="166" fontId="5" fillId="3" borderId="0" xfId="0" applyNumberFormat="1" applyFont="1" applyFill="1"/>
    <xf numFmtId="166" fontId="8" fillId="4" borderId="0" xfId="0" applyNumberFormat="1" applyFont="1" applyFill="1"/>
    <xf numFmtId="168" fontId="5" fillId="0" borderId="0" xfId="0" applyNumberFormat="1" applyFont="1"/>
  </cellXfs>
  <cellStyles count="1">
    <cellStyle name="Normal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4" workbookViewId="0">
      <selection activeCell="C8" sqref="C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7D42-02CA-4BFB-9041-690C6D030164}">
  <sheetPr>
    <outlinePr summaryBelow="0" summaryRight="0"/>
  </sheetPr>
  <dimension ref="A1:T1000"/>
  <sheetViews>
    <sheetView tabSelected="1" topLeftCell="A11" workbookViewId="0">
      <selection activeCell="J14" sqref="J14"/>
    </sheetView>
  </sheetViews>
  <sheetFormatPr defaultColWidth="12.6640625" defaultRowHeight="15" customHeight="1" x14ac:dyDescent="0.25"/>
  <cols>
    <col min="1" max="1" width="12.6640625" customWidth="1"/>
    <col min="2" max="2" width="18.21875" bestFit="1" customWidth="1"/>
    <col min="3" max="3" width="18.21875" customWidth="1"/>
    <col min="4" max="4" width="12.6640625" customWidth="1"/>
    <col min="5" max="5" width="13.6640625" bestFit="1" customWidth="1"/>
    <col min="6" max="6" width="12.6640625" customWidth="1"/>
    <col min="7" max="7" width="21.44140625" bestFit="1" customWidth="1"/>
    <col min="8" max="10" width="12.6640625" customWidth="1"/>
    <col min="13" max="13" width="29.6640625" bestFit="1" customWidth="1"/>
  </cols>
  <sheetData>
    <row r="1" spans="1:20" ht="15.75" customHeight="1" x14ac:dyDescent="0.25">
      <c r="A1" s="7" t="s">
        <v>148</v>
      </c>
      <c r="B1" s="7" t="s">
        <v>147</v>
      </c>
      <c r="C1" s="7" t="s">
        <v>121</v>
      </c>
      <c r="D1" s="7" t="s">
        <v>122</v>
      </c>
      <c r="E1" s="7" t="s">
        <v>20</v>
      </c>
      <c r="F1" s="7" t="s">
        <v>21</v>
      </c>
      <c r="G1" s="7" t="s">
        <v>149</v>
      </c>
      <c r="H1" s="7" t="s">
        <v>22</v>
      </c>
      <c r="I1" s="7" t="s">
        <v>23</v>
      </c>
      <c r="J1" s="7" t="s">
        <v>24</v>
      </c>
    </row>
    <row r="2" spans="1:20" ht="15.75" customHeight="1" x14ac:dyDescent="0.3">
      <c r="A2" s="5">
        <v>28</v>
      </c>
      <c r="B2" s="5" t="s">
        <v>123</v>
      </c>
      <c r="C2" s="18" t="str">
        <f>A2&amp;"-"&amp;B2</f>
        <v>28-JAN</v>
      </c>
      <c r="D2" s="5" t="s">
        <v>124</v>
      </c>
      <c r="E2" s="5" t="s">
        <v>26</v>
      </c>
      <c r="F2" s="5" t="s">
        <v>27</v>
      </c>
      <c r="G2" s="5" t="str">
        <f>F2&amp;" "&amp;E2</f>
        <v>Dell laptop</v>
      </c>
      <c r="H2" s="15">
        <v>1000</v>
      </c>
      <c r="I2" s="5">
        <v>30</v>
      </c>
      <c r="J2" s="5" t="s">
        <v>28</v>
      </c>
      <c r="L2" s="14" t="s">
        <v>116</v>
      </c>
      <c r="M2" s="14"/>
    </row>
    <row r="3" spans="1:20" ht="15.75" customHeight="1" x14ac:dyDescent="0.25">
      <c r="A3" s="8">
        <v>15</v>
      </c>
      <c r="B3" s="8" t="s">
        <v>125</v>
      </c>
      <c r="C3" s="18" t="str">
        <f t="shared" ref="C3:C32" si="0">A3&amp;"-"&amp;B3</f>
        <v>15-FEB</v>
      </c>
      <c r="D3" s="8" t="s">
        <v>124</v>
      </c>
      <c r="E3" s="8" t="s">
        <v>30</v>
      </c>
      <c r="F3" s="8" t="s">
        <v>31</v>
      </c>
      <c r="G3" s="5" t="str">
        <f t="shared" ref="G3:G32" si="1">F3&amp;" "&amp;E3</f>
        <v>Nike Sneakers</v>
      </c>
      <c r="H3" s="16">
        <v>80</v>
      </c>
      <c r="I3" s="8">
        <v>15</v>
      </c>
      <c r="J3" s="8" t="s">
        <v>32</v>
      </c>
      <c r="M3" s="9" t="s">
        <v>117</v>
      </c>
      <c r="N3" s="5" t="str">
        <f>H7</f>
        <v>Not Available</v>
      </c>
      <c r="O3" s="5"/>
      <c r="P3" s="5"/>
      <c r="Q3" s="5"/>
      <c r="R3" s="5"/>
      <c r="S3" s="5"/>
      <c r="T3" s="5"/>
    </row>
    <row r="4" spans="1:20" ht="15.75" customHeight="1" x14ac:dyDescent="0.3">
      <c r="A4" s="5">
        <v>3</v>
      </c>
      <c r="B4" s="5" t="s">
        <v>126</v>
      </c>
      <c r="C4" s="18" t="str">
        <f t="shared" si="0"/>
        <v>3-MAR</v>
      </c>
      <c r="D4" s="5" t="s">
        <v>124</v>
      </c>
      <c r="E4" s="5" t="s">
        <v>34</v>
      </c>
      <c r="F4" s="5" t="s">
        <v>35</v>
      </c>
      <c r="G4" s="5" t="str">
        <f t="shared" si="1"/>
        <v>Keurig Coffee Maker</v>
      </c>
      <c r="H4" s="15">
        <v>130</v>
      </c>
      <c r="I4" s="5">
        <v>40</v>
      </c>
      <c r="J4" s="5" t="s">
        <v>36</v>
      </c>
      <c r="M4" s="10" t="s">
        <v>119</v>
      </c>
      <c r="N4" s="3"/>
      <c r="O4" s="5"/>
      <c r="P4" s="5"/>
      <c r="Q4" s="5"/>
      <c r="R4" s="5"/>
      <c r="S4" s="5"/>
      <c r="T4" s="5"/>
    </row>
    <row r="5" spans="1:20" ht="15.75" customHeight="1" x14ac:dyDescent="0.3">
      <c r="A5" s="8">
        <v>11</v>
      </c>
      <c r="B5" s="8" t="s">
        <v>127</v>
      </c>
      <c r="C5" s="18" t="str">
        <f t="shared" si="0"/>
        <v>11-APR</v>
      </c>
      <c r="D5" s="8" t="s">
        <v>124</v>
      </c>
      <c r="E5" s="8" t="s">
        <v>38</v>
      </c>
      <c r="F5" s="8" t="s">
        <v>39</v>
      </c>
      <c r="G5" s="5" t="str">
        <f t="shared" si="1"/>
        <v>Samsung smartphone</v>
      </c>
      <c r="H5" s="16">
        <v>900</v>
      </c>
      <c r="I5" s="8">
        <v>25</v>
      </c>
      <c r="J5" s="8" t="s">
        <v>28</v>
      </c>
      <c r="M5" s="5"/>
      <c r="N5" s="3"/>
      <c r="O5" s="5"/>
      <c r="P5" s="5"/>
      <c r="Q5" s="5"/>
      <c r="R5" s="5"/>
      <c r="S5" s="5"/>
      <c r="T5" s="5"/>
    </row>
    <row r="6" spans="1:20" ht="15.75" customHeight="1" x14ac:dyDescent="0.3">
      <c r="A6" s="5">
        <v>22</v>
      </c>
      <c r="B6" s="5" t="s">
        <v>128</v>
      </c>
      <c r="C6" s="18" t="str">
        <f t="shared" si="0"/>
        <v>22-MAY</v>
      </c>
      <c r="D6" s="5" t="s">
        <v>124</v>
      </c>
      <c r="E6" s="5" t="s">
        <v>41</v>
      </c>
      <c r="F6" s="12" t="s">
        <v>42</v>
      </c>
      <c r="G6" s="5" t="str">
        <f t="shared" si="1"/>
        <v>North Face Backpack</v>
      </c>
      <c r="H6" s="15">
        <v>70</v>
      </c>
      <c r="I6" s="5">
        <v>20</v>
      </c>
      <c r="J6" s="8" t="s">
        <v>32</v>
      </c>
      <c r="L6" s="13" t="s">
        <v>4</v>
      </c>
      <c r="M6" s="13"/>
    </row>
    <row r="7" spans="1:20" ht="15.75" customHeight="1" x14ac:dyDescent="0.3">
      <c r="A7" s="8">
        <v>7</v>
      </c>
      <c r="B7" s="8" t="s">
        <v>129</v>
      </c>
      <c r="C7" s="18" t="str">
        <f t="shared" si="0"/>
        <v>7-JUN</v>
      </c>
      <c r="D7" s="8" t="s">
        <v>130</v>
      </c>
      <c r="E7" s="8" t="s">
        <v>44</v>
      </c>
      <c r="F7" s="8" t="s">
        <v>45</v>
      </c>
      <c r="G7" s="5" t="str">
        <f t="shared" si="1"/>
        <v>Sony Headphones</v>
      </c>
      <c r="H7" s="17" t="s">
        <v>118</v>
      </c>
      <c r="I7" s="8">
        <v>45</v>
      </c>
      <c r="J7" s="8" t="s">
        <v>28</v>
      </c>
      <c r="M7" s="11" t="s">
        <v>120</v>
      </c>
    </row>
    <row r="8" spans="1:20" ht="15.75" customHeight="1" x14ac:dyDescent="0.25">
      <c r="A8" s="5">
        <v>19</v>
      </c>
      <c r="B8" s="5" t="s">
        <v>131</v>
      </c>
      <c r="C8" s="18" t="str">
        <f t="shared" si="0"/>
        <v>19-JUL</v>
      </c>
      <c r="D8" s="5" t="s">
        <v>130</v>
      </c>
      <c r="E8" s="5" t="s">
        <v>48</v>
      </c>
      <c r="F8" s="5" t="s">
        <v>49</v>
      </c>
      <c r="G8" s="5" t="str">
        <f t="shared" si="1"/>
        <v>Adidas T-shirt</v>
      </c>
      <c r="H8" s="15">
        <v>30</v>
      </c>
      <c r="I8" s="5">
        <v>5</v>
      </c>
      <c r="J8" s="5" t="s">
        <v>32</v>
      </c>
    </row>
    <row r="9" spans="1:20" ht="15.75" customHeight="1" x14ac:dyDescent="0.25">
      <c r="A9" s="8">
        <v>23</v>
      </c>
      <c r="B9" s="8" t="s">
        <v>132</v>
      </c>
      <c r="C9" s="18" t="str">
        <f t="shared" si="0"/>
        <v>23-AUG</v>
      </c>
      <c r="D9" s="8" t="s">
        <v>130</v>
      </c>
      <c r="E9" s="8" t="s">
        <v>51</v>
      </c>
      <c r="F9" s="8" t="s">
        <v>52</v>
      </c>
      <c r="G9" s="5" t="str">
        <f t="shared" si="1"/>
        <v>Ninja Blender</v>
      </c>
      <c r="H9" s="16">
        <v>90</v>
      </c>
      <c r="I9" s="8">
        <v>35</v>
      </c>
      <c r="J9" s="8" t="s">
        <v>36</v>
      </c>
    </row>
    <row r="10" spans="1:20" ht="15.75" customHeight="1" x14ac:dyDescent="0.25">
      <c r="A10" s="5">
        <v>5</v>
      </c>
      <c r="B10" s="5" t="s">
        <v>133</v>
      </c>
      <c r="C10" s="18" t="str">
        <f t="shared" si="0"/>
        <v>5-SEP</v>
      </c>
      <c r="D10" s="5" t="s">
        <v>130</v>
      </c>
      <c r="E10" s="5" t="s">
        <v>54</v>
      </c>
      <c r="F10" s="5" t="s">
        <v>55</v>
      </c>
      <c r="G10" s="5" t="str">
        <f t="shared" si="1"/>
        <v>Apple Tablet</v>
      </c>
      <c r="H10" s="15">
        <v>500</v>
      </c>
      <c r="I10" s="5">
        <v>50</v>
      </c>
      <c r="J10" s="5" t="s">
        <v>28</v>
      </c>
    </row>
    <row r="11" spans="1:20" ht="15.75" customHeight="1" x14ac:dyDescent="0.25">
      <c r="A11" s="8">
        <v>14</v>
      </c>
      <c r="B11" s="8" t="s">
        <v>134</v>
      </c>
      <c r="C11" s="18" t="str">
        <f t="shared" si="0"/>
        <v>14-OCT</v>
      </c>
      <c r="D11" s="8" t="s">
        <v>130</v>
      </c>
      <c r="E11" s="8" t="s">
        <v>57</v>
      </c>
      <c r="F11" s="8" t="s">
        <v>58</v>
      </c>
      <c r="G11" s="5" t="str">
        <f t="shared" si="1"/>
        <v>Timberland Hiking Boots</v>
      </c>
      <c r="H11" s="16">
        <v>130</v>
      </c>
      <c r="I11" s="8">
        <v>10</v>
      </c>
      <c r="J11" s="8" t="s">
        <v>59</v>
      </c>
    </row>
    <row r="12" spans="1:20" ht="15.75" customHeight="1" x14ac:dyDescent="0.25">
      <c r="A12" s="5">
        <v>17</v>
      </c>
      <c r="B12" s="5" t="s">
        <v>129</v>
      </c>
      <c r="C12" s="18" t="str">
        <f t="shared" si="0"/>
        <v>17-JUN</v>
      </c>
      <c r="D12" s="5" t="s">
        <v>135</v>
      </c>
      <c r="E12" s="5" t="s">
        <v>61</v>
      </c>
      <c r="F12" s="5" t="s">
        <v>62</v>
      </c>
      <c r="G12" s="5" t="str">
        <f t="shared" si="1"/>
        <v>HP Laptop</v>
      </c>
      <c r="H12" s="15">
        <v>950</v>
      </c>
      <c r="I12" s="5">
        <v>25</v>
      </c>
      <c r="J12" s="5" t="s">
        <v>28</v>
      </c>
    </row>
    <row r="13" spans="1:20" ht="15.75" customHeight="1" x14ac:dyDescent="0.25">
      <c r="A13" s="8">
        <v>25</v>
      </c>
      <c r="B13" s="8" t="s">
        <v>136</v>
      </c>
      <c r="C13" s="18" t="str">
        <f t="shared" si="0"/>
        <v>25-NOV</v>
      </c>
      <c r="D13" s="8" t="s">
        <v>137</v>
      </c>
      <c r="E13" s="8" t="s">
        <v>30</v>
      </c>
      <c r="F13" s="8" t="s">
        <v>49</v>
      </c>
      <c r="G13" s="5" t="str">
        <f t="shared" si="1"/>
        <v>Adidas Sneakers</v>
      </c>
      <c r="H13" s="16">
        <v>90</v>
      </c>
      <c r="I13" s="8">
        <v>40</v>
      </c>
      <c r="J13" s="8" t="s">
        <v>32</v>
      </c>
    </row>
    <row r="14" spans="1:20" ht="15.75" customHeight="1" x14ac:dyDescent="0.25">
      <c r="A14" s="5">
        <v>8</v>
      </c>
      <c r="B14" s="5" t="s">
        <v>138</v>
      </c>
      <c r="C14" s="18" t="str">
        <f t="shared" si="0"/>
        <v>8-DEC</v>
      </c>
      <c r="D14" s="5" t="s">
        <v>139</v>
      </c>
      <c r="E14" s="5" t="s">
        <v>34</v>
      </c>
      <c r="F14" s="5" t="s">
        <v>65</v>
      </c>
      <c r="G14" s="5" t="str">
        <f t="shared" si="1"/>
        <v>Nespresso Coffee Maker</v>
      </c>
      <c r="H14" s="15">
        <v>120</v>
      </c>
      <c r="I14" s="5">
        <v>35</v>
      </c>
      <c r="J14" s="5" t="s">
        <v>36</v>
      </c>
    </row>
    <row r="15" spans="1:20" ht="15.75" customHeight="1" x14ac:dyDescent="0.25">
      <c r="A15" s="8">
        <v>18</v>
      </c>
      <c r="B15" s="8" t="s">
        <v>125</v>
      </c>
      <c r="C15" s="18" t="str">
        <f t="shared" si="0"/>
        <v>18-FEB</v>
      </c>
      <c r="D15" s="8" t="s">
        <v>140</v>
      </c>
      <c r="E15" s="8" t="s">
        <v>67</v>
      </c>
      <c r="F15" s="8" t="s">
        <v>68</v>
      </c>
      <c r="G15" s="5" t="str">
        <f t="shared" si="1"/>
        <v>Fitbit Smartwatch</v>
      </c>
      <c r="H15" s="16">
        <v>150</v>
      </c>
      <c r="I15" s="8">
        <v>15</v>
      </c>
      <c r="J15" s="8" t="s">
        <v>28</v>
      </c>
    </row>
    <row r="16" spans="1:20" ht="15.75" customHeight="1" x14ac:dyDescent="0.25">
      <c r="A16" s="5">
        <v>16</v>
      </c>
      <c r="B16" s="5" t="s">
        <v>127</v>
      </c>
      <c r="C16" s="18" t="str">
        <f t="shared" si="0"/>
        <v>16-APR</v>
      </c>
      <c r="D16" s="5" t="s">
        <v>141</v>
      </c>
      <c r="E16" s="5" t="s">
        <v>70</v>
      </c>
      <c r="F16" s="5" t="s">
        <v>71</v>
      </c>
      <c r="G16" s="5" t="str">
        <f t="shared" si="1"/>
        <v>Bose headphones</v>
      </c>
      <c r="H16" s="15">
        <v>250</v>
      </c>
      <c r="I16" s="5">
        <v>20</v>
      </c>
      <c r="J16" s="8" t="s">
        <v>28</v>
      </c>
    </row>
    <row r="17" spans="1:10" ht="15.75" customHeight="1" x14ac:dyDescent="0.25">
      <c r="A17" s="8">
        <v>21</v>
      </c>
      <c r="B17" s="8" t="s">
        <v>132</v>
      </c>
      <c r="C17" s="18" t="str">
        <f t="shared" si="0"/>
        <v>21-AUG</v>
      </c>
      <c r="D17" s="8" t="s">
        <v>140</v>
      </c>
      <c r="E17" s="8" t="s">
        <v>73</v>
      </c>
      <c r="F17" s="8" t="s">
        <v>74</v>
      </c>
      <c r="G17" s="5" t="str">
        <f t="shared" si="1"/>
        <v>Samsonite Laptop Bag</v>
      </c>
      <c r="H17" s="16">
        <v>50</v>
      </c>
      <c r="I17" s="8">
        <v>35</v>
      </c>
      <c r="J17" s="8" t="s">
        <v>75</v>
      </c>
    </row>
    <row r="18" spans="1:10" ht="15.75" customHeight="1" x14ac:dyDescent="0.25">
      <c r="A18" s="5">
        <v>20</v>
      </c>
      <c r="B18" s="5" t="s">
        <v>132</v>
      </c>
      <c r="C18" s="18" t="str">
        <f t="shared" si="0"/>
        <v>20-AUG</v>
      </c>
      <c r="D18" s="5" t="s">
        <v>142</v>
      </c>
      <c r="E18" s="5" t="s">
        <v>67</v>
      </c>
      <c r="F18" s="5" t="s">
        <v>77</v>
      </c>
      <c r="G18" s="5" t="str">
        <f t="shared" si="1"/>
        <v>Huawei Smartwatch</v>
      </c>
      <c r="H18" s="15">
        <v>160</v>
      </c>
      <c r="I18" s="5">
        <v>15</v>
      </c>
      <c r="J18" s="8" t="s">
        <v>28</v>
      </c>
    </row>
    <row r="19" spans="1:10" ht="15.75" customHeight="1" x14ac:dyDescent="0.25">
      <c r="A19" s="8">
        <v>27</v>
      </c>
      <c r="B19" s="8" t="s">
        <v>123</v>
      </c>
      <c r="C19" s="18" t="str">
        <f t="shared" si="0"/>
        <v>27-JAN</v>
      </c>
      <c r="D19" s="8" t="s">
        <v>143</v>
      </c>
      <c r="E19" s="8" t="s">
        <v>26</v>
      </c>
      <c r="F19" s="8" t="s">
        <v>79</v>
      </c>
      <c r="G19" s="5" t="str">
        <f t="shared" si="1"/>
        <v>Asus laptop</v>
      </c>
      <c r="H19" s="16">
        <v>980</v>
      </c>
      <c r="I19" s="8">
        <v>10</v>
      </c>
      <c r="J19" s="8" t="s">
        <v>28</v>
      </c>
    </row>
    <row r="20" spans="1:10" ht="15.75" customHeight="1" x14ac:dyDescent="0.25">
      <c r="A20" s="5">
        <v>1</v>
      </c>
      <c r="B20" s="5" t="s">
        <v>126</v>
      </c>
      <c r="C20" s="18" t="str">
        <f t="shared" si="0"/>
        <v>1-MAR</v>
      </c>
      <c r="D20" s="5" t="s">
        <v>130</v>
      </c>
      <c r="E20" s="5" t="s">
        <v>81</v>
      </c>
      <c r="F20" s="5" t="s">
        <v>82</v>
      </c>
      <c r="G20" s="5" t="str">
        <f t="shared" si="1"/>
        <v>Oakley Sunglasses</v>
      </c>
      <c r="H20" s="15">
        <v>150</v>
      </c>
      <c r="I20" s="5">
        <v>15</v>
      </c>
      <c r="J20" s="5" t="s">
        <v>32</v>
      </c>
    </row>
    <row r="21" spans="1:10" ht="15.75" customHeight="1" x14ac:dyDescent="0.25">
      <c r="A21" s="8">
        <v>14</v>
      </c>
      <c r="B21" s="8" t="s">
        <v>132</v>
      </c>
      <c r="C21" s="18" t="str">
        <f t="shared" si="0"/>
        <v>14-AUG</v>
      </c>
      <c r="D21" s="8" t="s">
        <v>124</v>
      </c>
      <c r="E21" s="8" t="s">
        <v>84</v>
      </c>
      <c r="F21" s="8" t="s">
        <v>85</v>
      </c>
      <c r="G21" s="5" t="str">
        <f t="shared" si="1"/>
        <v>Coleman Camping Tent</v>
      </c>
      <c r="H21" s="17" t="s">
        <v>118</v>
      </c>
      <c r="I21" s="8">
        <v>10</v>
      </c>
      <c r="J21" s="8" t="s">
        <v>59</v>
      </c>
    </row>
    <row r="22" spans="1:10" ht="15.75" customHeight="1" x14ac:dyDescent="0.25">
      <c r="A22" s="5">
        <v>14</v>
      </c>
      <c r="B22" s="5" t="s">
        <v>128</v>
      </c>
      <c r="C22" s="18" t="str">
        <f t="shared" si="0"/>
        <v>14-MAY</v>
      </c>
      <c r="D22" s="5" t="s">
        <v>144</v>
      </c>
      <c r="E22" s="5" t="s">
        <v>87</v>
      </c>
      <c r="F22" s="5" t="s">
        <v>88</v>
      </c>
      <c r="G22" s="5" t="str">
        <f t="shared" si="1"/>
        <v>Nikon Camera</v>
      </c>
      <c r="H22" s="15">
        <v>700</v>
      </c>
      <c r="I22" s="5">
        <v>50</v>
      </c>
      <c r="J22" s="5" t="s">
        <v>28</v>
      </c>
    </row>
    <row r="23" spans="1:10" ht="15.75" customHeight="1" x14ac:dyDescent="0.25">
      <c r="A23" s="8">
        <v>9</v>
      </c>
      <c r="B23" s="8" t="s">
        <v>123</v>
      </c>
      <c r="C23" s="18" t="str">
        <f t="shared" si="0"/>
        <v>9-JAN</v>
      </c>
      <c r="D23" s="8" t="s">
        <v>140</v>
      </c>
      <c r="E23" s="8" t="s">
        <v>90</v>
      </c>
      <c r="F23" s="8" t="s">
        <v>91</v>
      </c>
      <c r="G23" s="5" t="str">
        <f t="shared" si="1"/>
        <v>Panasonic Microwave</v>
      </c>
      <c r="H23" s="16">
        <v>80</v>
      </c>
      <c r="I23" s="8">
        <v>20</v>
      </c>
      <c r="J23" s="8" t="s">
        <v>36</v>
      </c>
    </row>
    <row r="24" spans="1:10" ht="15.75" customHeight="1" x14ac:dyDescent="0.25">
      <c r="A24" s="5">
        <v>19</v>
      </c>
      <c r="B24" s="5" t="s">
        <v>131</v>
      </c>
      <c r="C24" s="18" t="str">
        <f t="shared" si="0"/>
        <v>19-JUL</v>
      </c>
      <c r="D24" s="5" t="s">
        <v>145</v>
      </c>
      <c r="E24" s="5" t="s">
        <v>93</v>
      </c>
      <c r="F24" s="5" t="s">
        <v>94</v>
      </c>
      <c r="G24" s="5" t="str">
        <f t="shared" si="1"/>
        <v>Xiaomi Fitness Tracker</v>
      </c>
      <c r="H24" s="15">
        <v>150</v>
      </c>
      <c r="I24" s="5">
        <v>30</v>
      </c>
      <c r="J24" s="5" t="s">
        <v>28</v>
      </c>
    </row>
    <row r="25" spans="1:10" ht="15.75" customHeight="1" x14ac:dyDescent="0.25">
      <c r="A25" s="5">
        <v>29</v>
      </c>
      <c r="B25" s="5" t="s">
        <v>133</v>
      </c>
      <c r="C25" s="18" t="str">
        <f t="shared" si="0"/>
        <v>29-SEP</v>
      </c>
      <c r="D25" s="5" t="s">
        <v>140</v>
      </c>
      <c r="E25" s="5" t="s">
        <v>96</v>
      </c>
      <c r="F25" s="5" t="s">
        <v>97</v>
      </c>
      <c r="G25" s="5" t="str">
        <f t="shared" si="1"/>
        <v>Google Smartphone</v>
      </c>
      <c r="H25" s="15">
        <v>800</v>
      </c>
      <c r="I25" s="5">
        <v>45</v>
      </c>
      <c r="J25" s="5" t="s">
        <v>28</v>
      </c>
    </row>
    <row r="26" spans="1:10" ht="15.75" customHeight="1" x14ac:dyDescent="0.25">
      <c r="A26" s="8">
        <v>3</v>
      </c>
      <c r="B26" s="8" t="s">
        <v>129</v>
      </c>
      <c r="C26" s="18" t="str">
        <f t="shared" si="0"/>
        <v>3-JUN</v>
      </c>
      <c r="D26" s="8" t="s">
        <v>140</v>
      </c>
      <c r="E26" s="8" t="s">
        <v>81</v>
      </c>
      <c r="F26" s="8" t="s">
        <v>99</v>
      </c>
      <c r="G26" s="5" t="str">
        <f t="shared" si="1"/>
        <v>Ray-Ban Sunglasses</v>
      </c>
      <c r="H26" s="17" t="s">
        <v>118</v>
      </c>
      <c r="I26" s="8">
        <v>25</v>
      </c>
      <c r="J26" s="8" t="s">
        <v>32</v>
      </c>
    </row>
    <row r="27" spans="1:10" ht="15.75" customHeight="1" x14ac:dyDescent="0.25">
      <c r="A27" s="5">
        <v>11</v>
      </c>
      <c r="B27" s="5" t="s">
        <v>131</v>
      </c>
      <c r="C27" s="18" t="str">
        <f t="shared" si="0"/>
        <v>11-JUL</v>
      </c>
      <c r="D27" s="5" t="s">
        <v>140</v>
      </c>
      <c r="E27" s="5" t="s">
        <v>51</v>
      </c>
      <c r="F27" s="5" t="s">
        <v>101</v>
      </c>
      <c r="G27" s="5" t="str">
        <f t="shared" si="1"/>
        <v>Vitamix Blender</v>
      </c>
      <c r="H27" s="15">
        <v>400</v>
      </c>
      <c r="I27" s="5">
        <v>40</v>
      </c>
      <c r="J27" s="5" t="s">
        <v>36</v>
      </c>
    </row>
    <row r="28" spans="1:10" ht="15.75" customHeight="1" x14ac:dyDescent="0.25">
      <c r="A28" s="5">
        <v>7</v>
      </c>
      <c r="B28" s="5" t="s">
        <v>126</v>
      </c>
      <c r="C28" s="18" t="str">
        <f t="shared" si="0"/>
        <v>7-MAR</v>
      </c>
      <c r="D28" s="5" t="s">
        <v>140</v>
      </c>
      <c r="E28" s="5" t="s">
        <v>103</v>
      </c>
      <c r="F28" s="5" t="s">
        <v>104</v>
      </c>
      <c r="G28" s="5" t="str">
        <f t="shared" si="1"/>
        <v>Zara Dress</v>
      </c>
      <c r="H28" s="15">
        <v>60</v>
      </c>
      <c r="I28" s="5">
        <v>30</v>
      </c>
      <c r="J28" s="5" t="s">
        <v>32</v>
      </c>
    </row>
    <row r="29" spans="1:10" ht="15.75" customHeight="1" x14ac:dyDescent="0.25">
      <c r="A29" s="8">
        <v>13</v>
      </c>
      <c r="B29" s="8" t="s">
        <v>127</v>
      </c>
      <c r="C29" s="18" t="str">
        <f t="shared" si="0"/>
        <v>13-APR</v>
      </c>
      <c r="D29" s="8" t="s">
        <v>140</v>
      </c>
      <c r="E29" s="8" t="s">
        <v>106</v>
      </c>
      <c r="F29" s="8" t="s">
        <v>107</v>
      </c>
      <c r="G29" s="5" t="str">
        <f t="shared" si="1"/>
        <v>Hamilton Toaster</v>
      </c>
      <c r="H29" s="16">
        <v>40</v>
      </c>
      <c r="I29" s="8">
        <v>10</v>
      </c>
      <c r="J29" s="8" t="s">
        <v>36</v>
      </c>
    </row>
    <row r="30" spans="1:10" ht="15.75" customHeight="1" x14ac:dyDescent="0.25">
      <c r="A30" s="5">
        <v>24</v>
      </c>
      <c r="B30" s="5" t="s">
        <v>128</v>
      </c>
      <c r="C30" s="18" t="str">
        <f t="shared" si="0"/>
        <v>24-MAY</v>
      </c>
      <c r="D30" s="5" t="s">
        <v>140</v>
      </c>
      <c r="E30" s="5" t="s">
        <v>93</v>
      </c>
      <c r="F30" s="5" t="s">
        <v>109</v>
      </c>
      <c r="G30" s="5" t="str">
        <f t="shared" si="1"/>
        <v>Garmin Fitness Tracker</v>
      </c>
      <c r="H30" s="15">
        <v>130</v>
      </c>
      <c r="I30" s="5">
        <v>5</v>
      </c>
      <c r="J30" s="5" t="s">
        <v>28</v>
      </c>
    </row>
    <row r="31" spans="1:10" ht="15.75" customHeight="1" x14ac:dyDescent="0.25">
      <c r="A31" s="8">
        <v>2</v>
      </c>
      <c r="B31" s="8" t="s">
        <v>138</v>
      </c>
      <c r="C31" s="18" t="str">
        <f t="shared" si="0"/>
        <v>2-DEC</v>
      </c>
      <c r="D31" s="8" t="s">
        <v>140</v>
      </c>
      <c r="E31" s="8" t="s">
        <v>111</v>
      </c>
      <c r="F31" s="8" t="s">
        <v>112</v>
      </c>
      <c r="G31" s="5" t="str">
        <f t="shared" si="1"/>
        <v>Levi's Jeans</v>
      </c>
      <c r="H31" s="16">
        <v>50</v>
      </c>
      <c r="I31" s="8">
        <v>50</v>
      </c>
      <c r="J31" s="8" t="s">
        <v>32</v>
      </c>
    </row>
    <row r="32" spans="1:10" ht="15.75" customHeight="1" x14ac:dyDescent="0.25">
      <c r="A32" s="8">
        <v>9</v>
      </c>
      <c r="B32" s="8" t="s">
        <v>131</v>
      </c>
      <c r="C32" s="18" t="str">
        <f t="shared" si="0"/>
        <v>9-JUL</v>
      </c>
      <c r="D32" s="8" t="s">
        <v>146</v>
      </c>
      <c r="E32" s="8" t="s">
        <v>114</v>
      </c>
      <c r="F32" s="8" t="s">
        <v>115</v>
      </c>
      <c r="G32" s="5" t="str">
        <f t="shared" si="1"/>
        <v>Casio Watch</v>
      </c>
      <c r="H32" s="16">
        <v>100</v>
      </c>
      <c r="I32" s="8">
        <v>20</v>
      </c>
      <c r="J32" s="8" t="s">
        <v>75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L6:M6"/>
    <mergeCell ref="L2:M2"/>
  </mergeCells>
  <conditionalFormatting sqref="H2:H3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{8237E6E4-4617-4B21-8B81-59169395C0A8}</x14:id>
        </ext>
      </extLst>
    </cfRule>
  </conditionalFormatting>
  <conditionalFormatting sqref="J7"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37E6E4-4617-4B21-8B81-59169395C0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  <x14:conditionalFormatting xmlns:xm="http://schemas.microsoft.com/office/excel/2006/main">
          <x14:cfRule type="containsText" priority="1" operator="containsText" id="{2489EF38-A513-4919-B7A3-11E94597F6D5}">
            <xm:f>NOT(ISERROR(SEARCH($J$12,J2)))</xm:f>
            <xm:f>$J$12</xm:f>
            <x14:dxf>
              <fill>
                <patternFill>
                  <bgColor theme="8" tint="0.39994506668294322"/>
                </patternFill>
              </fill>
            </x14:dxf>
          </x14:cfRule>
          <xm:sqref>J2:J32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Varghese</cp:lastModifiedBy>
  <dcterms:modified xsi:type="dcterms:W3CDTF">2026-10-14T04:51:16Z</dcterms:modified>
</cp:coreProperties>
</file>